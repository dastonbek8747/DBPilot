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<sst xmlns="http://schemas.openxmlformats.org/spreadsheetml/2006/main" count="37" uniqueCount="37">
  <si>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10- sinf Informatika fanidan  CHSB [40 ball]</t>
  </si>
  <si>
    <t>T/R</t>
  </si>
  <si>
    <t>FAMILIYA ISM</t>
  </si>
  <si>
    <t>1-T</t>
  </si>
  <si>
    <t>2-T</t>
  </si>
  <si>
    <t>3-T</t>
  </si>
  <si>
    <t>4-T</t>
  </si>
  <si>
    <t>5-T</t>
  </si>
  <si>
    <t>6-T</t>
  </si>
  <si>
    <t>7-T</t>
  </si>
  <si>
    <t>8-T</t>
  </si>
  <si>
    <t>9-T</t>
  </si>
  <si>
    <t>10-T</t>
  </si>
  <si>
    <t>11-T</t>
  </si>
  <si>
    <t>12-T</t>
  </si>
  <si>
    <t>13-T</t>
  </si>
  <si>
    <t>14-T</t>
  </si>
  <si>
    <t>15-T</t>
  </si>
  <si>
    <t>JAMI: 40 Ball</t>
  </si>
  <si>
    <t>FIOZ: 100%</t>
  </si>
  <si>
    <t>Amanboyev Jalolbek</t>
  </si>
  <si>
    <t>Iskandarov Aslbek</t>
  </si>
  <si>
    <t>Jumanazarova Rayhona</t>
  </si>
  <si>
    <t>Qadambayeva Guli</t>
  </si>
  <si>
    <t>Qurolboyeva Zaxro</t>
  </si>
  <si>
    <t>Raimberganov Asadbek</t>
  </si>
  <si>
    <t>Rajabboyev Farruxbek</t>
  </si>
  <si>
    <t>Soatbayeva Xilola</t>
  </si>
  <si>
    <t>Sobirova Shukurjon</t>
  </si>
  <si>
    <t>Urozboyev Behruzbek</t>
  </si>
  <si>
    <t>Xusanova Saboxon</t>
  </si>
  <si>
    <t>Yangiboyev Alisher</t>
  </si>
  <si>
    <t>Yangiboyeva Xusniya</t>
  </si>
  <si>
    <t>Yoldasheva Rayhon</t>
  </si>
  <si>
    <t>Yusupova Marjona</t>
  </si>
  <si>
    <t>O’rtacha ball</t>
  </si>
  <si>
    <t>O’rtacha foiz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</si>
</sst>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</numFmts>
  <fonts count="31">
    <font>
      <sz val="11"/>
      <color theme="1"/>
      <name val="Calibri"/>
      <charset val="204"/>
      <scheme val="minor"/>
    </font>
    <font>
      <b/>
      <sz val="16"/>
      <color theme="1"/>
      <name val="Times New Roman"/>
      <charset val="204"/>
    </font>
    <font>
      <b/>
      <sz val="11"/>
      <color theme="1"/>
      <name val="Times New Roman"/>
      <charset val="204"/>
    </font>
    <font>
      <b/>
      <sz val="12"/>
      <color theme="1"/>
      <name val="Times New Roman"/>
      <charset val="204"/>
    </font>
    <font>
      <sz val="11"/>
      <color theme="1"/>
      <name val="Times New Roman"/>
      <charset val="204"/>
    </font>
    <font>
      <sz val="10"/>
      <name val="Times New Roman"/>
      <charset val="204"/>
    </font>
    <font>
      <sz val="10"/>
      <name val="Arial"/>
      <charset val="0"/>
    </font>
    <font>
      <b/>
      <sz val="14"/>
      <color theme="1"/>
      <name val="Times New Roman"/>
      <charset val="204"/>
    </font>
    <font>
      <b/>
      <sz val="12"/>
      <color theme="1"/>
      <name val="Calibri"/>
      <charset val="204"/>
      <scheme val="minor"/>
    </font>
    <font>
      <b/>
      <sz val="12"/>
      <color theme="1"/>
      <name val="Arial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2" borderId="5" xfId="49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5" xfId="49" applyFont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180" fontId="9" fillId="0" borderId="5" xfId="0" applyNumberFormat="1" applyFont="1" applyBorder="1" applyAlignment="1">
      <alignment horizontal="center" vertic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abSelected="1" zoomScale="108" zoomScaleNormal="108" workbookViewId="0">
      <selection activeCell="W7" sqref="W7"/>
    </sheetView>
  </sheetViews>
  <sheetFormatPr defaultColWidth="9" defaultRowHeight="14.4"/>
  <cols>
    <col min="1" max="1" width="4.28703703703704" customWidth="1"/>
    <col min="2" max="2" width="26.5740740740741" customWidth="1"/>
    <col min="3" max="17" width="5.57407407407407" customWidth="1"/>
    <col min="18" max="18" width="11.8518518518519" customWidth="1"/>
  </cols>
  <sheetData>
    <row r="1" ht="48" customHeight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1" customHeight="1" spans="1:19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17" t="s">
        <v>18</v>
      </c>
      <c r="S2" s="17" t="s">
        <v>19</v>
      </c>
    </row>
    <row r="3" ht="15" customHeight="1" spans="1:19">
      <c r="A3" s="5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18"/>
      <c r="S3" s="19"/>
    </row>
    <row r="4" ht="21.75" customHeight="1" spans="1:19">
      <c r="A4" s="8">
        <v>1</v>
      </c>
      <c r="B4" s="9" t="s">
        <v>20</v>
      </c>
      <c r="C4" s="10">
        <v>2</v>
      </c>
      <c r="D4" s="10">
        <v>2.4</v>
      </c>
      <c r="E4" s="10">
        <v>2</v>
      </c>
      <c r="F4" s="10">
        <v>2.4</v>
      </c>
      <c r="G4" s="10">
        <v>5</v>
      </c>
      <c r="H4" s="10">
        <v>2.4</v>
      </c>
      <c r="I4" s="10">
        <v>2.4</v>
      </c>
      <c r="J4" s="10">
        <v>2.4</v>
      </c>
      <c r="K4" s="10">
        <v>2</v>
      </c>
      <c r="L4" s="10">
        <v>2.4</v>
      </c>
      <c r="M4" s="15">
        <v>2.4</v>
      </c>
      <c r="N4" s="15">
        <v>0</v>
      </c>
      <c r="O4" s="15">
        <v>2.4</v>
      </c>
      <c r="P4" s="15">
        <v>0</v>
      </c>
      <c r="Q4" s="15">
        <v>5</v>
      </c>
      <c r="R4" s="20">
        <f>SUM(C4:Q4)</f>
        <v>35.2</v>
      </c>
      <c r="S4" s="20">
        <f>(R4*100)/50</f>
        <v>70.4</v>
      </c>
    </row>
    <row r="5" ht="21.75" customHeight="1" spans="1:19">
      <c r="A5" s="8">
        <v>2</v>
      </c>
      <c r="B5" s="9" t="s">
        <v>21</v>
      </c>
      <c r="C5" s="10">
        <v>2</v>
      </c>
      <c r="D5" s="10">
        <v>2.4</v>
      </c>
      <c r="E5" s="10">
        <v>2</v>
      </c>
      <c r="F5" s="10">
        <v>2.4</v>
      </c>
      <c r="G5" s="10">
        <v>0</v>
      </c>
      <c r="H5" s="10">
        <v>2.4</v>
      </c>
      <c r="I5" s="10">
        <v>2.4</v>
      </c>
      <c r="J5" s="10">
        <v>2.4</v>
      </c>
      <c r="K5" s="10">
        <v>2</v>
      </c>
      <c r="L5" s="10">
        <v>2.4</v>
      </c>
      <c r="M5" s="15">
        <v>2.4</v>
      </c>
      <c r="N5" s="15">
        <v>2.4</v>
      </c>
      <c r="O5" s="15">
        <v>0</v>
      </c>
      <c r="P5" s="15">
        <v>2.4</v>
      </c>
      <c r="Q5" s="15">
        <v>5</v>
      </c>
      <c r="R5" s="20">
        <f t="shared" ref="R5:R20" si="0">SUM(C5:Q5)</f>
        <v>32.6</v>
      </c>
      <c r="S5" s="20">
        <f>(R5*100)/40</f>
        <v>81.5</v>
      </c>
    </row>
    <row r="6" ht="21.75" customHeight="1" spans="1:19">
      <c r="A6" s="8">
        <v>3</v>
      </c>
      <c r="B6" s="9" t="s">
        <v>22</v>
      </c>
      <c r="C6" s="10">
        <v>2</v>
      </c>
      <c r="D6" s="10">
        <v>2.4</v>
      </c>
      <c r="E6" s="10">
        <v>2</v>
      </c>
      <c r="F6" s="10">
        <v>2.4</v>
      </c>
      <c r="G6" s="10">
        <v>5</v>
      </c>
      <c r="H6" s="10">
        <v>2.4</v>
      </c>
      <c r="I6" s="10">
        <v>2.4</v>
      </c>
      <c r="J6" s="10">
        <v>2.4</v>
      </c>
      <c r="K6" s="10">
        <v>2</v>
      </c>
      <c r="L6" s="10">
        <v>2.4</v>
      </c>
      <c r="M6" s="15">
        <v>2.4</v>
      </c>
      <c r="N6" s="15">
        <v>2.4</v>
      </c>
      <c r="O6" s="15">
        <v>2.4</v>
      </c>
      <c r="P6" s="15">
        <v>0</v>
      </c>
      <c r="Q6" s="15">
        <v>5</v>
      </c>
      <c r="R6" s="20">
        <f t="shared" si="0"/>
        <v>37.6</v>
      </c>
      <c r="S6" s="20">
        <f t="shared" ref="S6:S20" si="1">(R6*100)/40</f>
        <v>94</v>
      </c>
    </row>
    <row r="7" ht="21.75" customHeight="1" spans="1:19">
      <c r="A7" s="8">
        <v>4</v>
      </c>
      <c r="B7" s="9" t="s">
        <v>23</v>
      </c>
      <c r="C7" s="10">
        <v>0</v>
      </c>
      <c r="D7" s="10">
        <v>2.4</v>
      </c>
      <c r="E7" s="10">
        <v>2</v>
      </c>
      <c r="F7" s="10">
        <v>2.4</v>
      </c>
      <c r="G7" s="10">
        <v>5</v>
      </c>
      <c r="H7" s="10">
        <v>2.4</v>
      </c>
      <c r="I7" s="10">
        <v>2.4</v>
      </c>
      <c r="J7" s="10">
        <v>2.4</v>
      </c>
      <c r="K7" s="10">
        <v>2</v>
      </c>
      <c r="L7" s="10">
        <v>2.4</v>
      </c>
      <c r="M7" s="15">
        <v>2.4</v>
      </c>
      <c r="N7" s="15">
        <v>0</v>
      </c>
      <c r="O7" s="15">
        <v>2.4</v>
      </c>
      <c r="P7" s="15">
        <v>2.4</v>
      </c>
      <c r="Q7" s="15">
        <v>5</v>
      </c>
      <c r="R7" s="20">
        <f t="shared" si="0"/>
        <v>35.6</v>
      </c>
      <c r="S7" s="20">
        <f t="shared" si="1"/>
        <v>89</v>
      </c>
    </row>
    <row r="8" ht="21.75" customHeight="1" spans="1:19">
      <c r="A8" s="11">
        <v>5</v>
      </c>
      <c r="B8" s="12" t="s">
        <v>24</v>
      </c>
      <c r="C8" s="10">
        <v>2</v>
      </c>
      <c r="D8" s="10">
        <v>2.4</v>
      </c>
      <c r="E8" s="10">
        <v>0</v>
      </c>
      <c r="F8" s="10">
        <v>2.4</v>
      </c>
      <c r="G8" s="10">
        <v>5</v>
      </c>
      <c r="H8" s="10">
        <v>2.4</v>
      </c>
      <c r="I8" s="10">
        <v>2.4</v>
      </c>
      <c r="J8" s="10">
        <v>2.4</v>
      </c>
      <c r="K8" s="10">
        <v>2</v>
      </c>
      <c r="L8" s="10">
        <v>2.4</v>
      </c>
      <c r="M8" s="15">
        <v>2.4</v>
      </c>
      <c r="N8" s="15">
        <v>2.4</v>
      </c>
      <c r="O8" s="15">
        <v>2.4</v>
      </c>
      <c r="P8" s="15">
        <v>2.4</v>
      </c>
      <c r="Q8" s="15">
        <v>5</v>
      </c>
      <c r="R8" s="20">
        <f t="shared" si="0"/>
        <v>38</v>
      </c>
      <c r="S8" s="20">
        <f t="shared" si="1"/>
        <v>95</v>
      </c>
    </row>
    <row r="9" ht="21.75" customHeight="1" spans="1:19">
      <c r="A9" s="8">
        <v>6</v>
      </c>
      <c r="B9" s="9" t="s">
        <v>25</v>
      </c>
      <c r="C9" s="10">
        <v>2</v>
      </c>
      <c r="D9" s="10">
        <v>2.4</v>
      </c>
      <c r="E9" s="10">
        <v>2</v>
      </c>
      <c r="F9" s="10">
        <v>2.4</v>
      </c>
      <c r="G9" s="10">
        <v>0</v>
      </c>
      <c r="H9" s="10">
        <v>2.4</v>
      </c>
      <c r="I9" s="10">
        <v>2.4</v>
      </c>
      <c r="J9" s="10">
        <v>2.4</v>
      </c>
      <c r="K9" s="10">
        <v>2</v>
      </c>
      <c r="L9" s="10">
        <v>2.4</v>
      </c>
      <c r="M9" s="15">
        <v>2.4</v>
      </c>
      <c r="N9" s="15">
        <v>2.4</v>
      </c>
      <c r="O9" s="15">
        <v>0</v>
      </c>
      <c r="P9" s="15">
        <v>2.4</v>
      </c>
      <c r="Q9" s="15">
        <v>5</v>
      </c>
      <c r="R9" s="20">
        <f t="shared" si="0"/>
        <v>32.6</v>
      </c>
      <c r="S9" s="20">
        <f t="shared" si="1"/>
        <v>81.5</v>
      </c>
    </row>
    <row r="10" ht="21.75" customHeight="1" spans="1:19">
      <c r="A10" s="8">
        <v>7</v>
      </c>
      <c r="B10" s="9" t="s">
        <v>26</v>
      </c>
      <c r="C10" s="10">
        <v>0</v>
      </c>
      <c r="D10" s="10">
        <v>2.4</v>
      </c>
      <c r="E10" s="10">
        <v>2</v>
      </c>
      <c r="F10" s="10">
        <v>2.4</v>
      </c>
      <c r="G10" s="10">
        <v>5</v>
      </c>
      <c r="H10" s="10">
        <v>2.4</v>
      </c>
      <c r="I10" s="10">
        <v>2.4</v>
      </c>
      <c r="J10" s="10">
        <v>2.4</v>
      </c>
      <c r="K10" s="10">
        <v>2</v>
      </c>
      <c r="L10" s="10">
        <v>0</v>
      </c>
      <c r="M10" s="15">
        <v>2.4</v>
      </c>
      <c r="N10" s="15">
        <v>2.4</v>
      </c>
      <c r="O10" s="15">
        <v>2.4</v>
      </c>
      <c r="P10" s="15">
        <v>2.4</v>
      </c>
      <c r="Q10" s="15">
        <v>5</v>
      </c>
      <c r="R10" s="20">
        <f t="shared" si="0"/>
        <v>35.6</v>
      </c>
      <c r="S10" s="20">
        <f t="shared" si="1"/>
        <v>89</v>
      </c>
    </row>
    <row r="11" ht="21.75" customHeight="1" spans="1:19">
      <c r="A11" s="8">
        <v>8</v>
      </c>
      <c r="B11" s="9" t="s">
        <v>27</v>
      </c>
      <c r="C11" s="13">
        <v>2</v>
      </c>
      <c r="D11" s="13">
        <v>2.4</v>
      </c>
      <c r="E11" s="13">
        <v>2</v>
      </c>
      <c r="F11" s="13">
        <v>2.4</v>
      </c>
      <c r="G11" s="13">
        <v>5</v>
      </c>
      <c r="H11" s="13">
        <v>2.4</v>
      </c>
      <c r="I11" s="13">
        <v>2.4</v>
      </c>
      <c r="J11" s="13">
        <v>2.4</v>
      </c>
      <c r="K11" s="13">
        <v>2</v>
      </c>
      <c r="L11" s="13">
        <v>2.4</v>
      </c>
      <c r="M11" s="15">
        <v>2.4</v>
      </c>
      <c r="N11" s="15">
        <v>0</v>
      </c>
      <c r="O11" s="15">
        <v>2.4</v>
      </c>
      <c r="P11" s="15">
        <v>0</v>
      </c>
      <c r="Q11" s="15">
        <v>5</v>
      </c>
      <c r="R11" s="20">
        <f t="shared" si="0"/>
        <v>35.2</v>
      </c>
      <c r="S11" s="20">
        <f t="shared" si="1"/>
        <v>88</v>
      </c>
    </row>
    <row r="12" ht="21.75" customHeight="1" spans="1:19">
      <c r="A12" s="8">
        <v>9</v>
      </c>
      <c r="B12" s="9" t="s">
        <v>28</v>
      </c>
      <c r="C12" s="10">
        <v>0</v>
      </c>
      <c r="D12" s="10">
        <v>2.4</v>
      </c>
      <c r="E12" s="10">
        <v>0</v>
      </c>
      <c r="F12" s="10">
        <v>2.4</v>
      </c>
      <c r="G12" s="10">
        <v>5</v>
      </c>
      <c r="H12" s="10">
        <v>2.4</v>
      </c>
      <c r="I12" s="10">
        <v>2.4</v>
      </c>
      <c r="J12" s="10">
        <v>2.4</v>
      </c>
      <c r="K12" s="10">
        <v>0</v>
      </c>
      <c r="L12" s="10">
        <v>2.4</v>
      </c>
      <c r="M12" s="15">
        <v>2.4</v>
      </c>
      <c r="N12" s="15">
        <v>2.4</v>
      </c>
      <c r="O12" s="15">
        <v>2.4</v>
      </c>
      <c r="P12" s="15">
        <v>0</v>
      </c>
      <c r="Q12" s="15">
        <v>5</v>
      </c>
      <c r="R12" s="20">
        <f t="shared" si="0"/>
        <v>31.6</v>
      </c>
      <c r="S12" s="20">
        <f t="shared" si="1"/>
        <v>79</v>
      </c>
    </row>
    <row r="13" ht="21.75" customHeight="1" spans="1:19">
      <c r="A13" s="11">
        <v>10</v>
      </c>
      <c r="B13" s="12" t="s">
        <v>29</v>
      </c>
      <c r="C13" s="10">
        <v>2</v>
      </c>
      <c r="D13" s="10">
        <v>2.4</v>
      </c>
      <c r="E13" s="10">
        <v>2</v>
      </c>
      <c r="F13" s="10">
        <v>2.4</v>
      </c>
      <c r="G13" s="10">
        <v>0</v>
      </c>
      <c r="H13" s="10">
        <v>2.4</v>
      </c>
      <c r="I13" s="10">
        <v>2.4</v>
      </c>
      <c r="J13" s="10">
        <v>2.4</v>
      </c>
      <c r="K13" s="10">
        <v>2</v>
      </c>
      <c r="L13" s="10">
        <v>2.4</v>
      </c>
      <c r="M13" s="15">
        <v>2.4</v>
      </c>
      <c r="N13" s="15">
        <v>2.4</v>
      </c>
      <c r="O13" s="15">
        <v>0</v>
      </c>
      <c r="P13" s="15">
        <v>2.4</v>
      </c>
      <c r="Q13" s="15">
        <v>5</v>
      </c>
      <c r="R13" s="20">
        <f t="shared" si="0"/>
        <v>32.6</v>
      </c>
      <c r="S13" s="20">
        <f t="shared" si="1"/>
        <v>81.5</v>
      </c>
    </row>
    <row r="14" ht="21.75" customHeight="1" spans="1:19">
      <c r="A14" s="8">
        <v>11</v>
      </c>
      <c r="B14" s="9" t="s">
        <v>30</v>
      </c>
      <c r="C14" s="10">
        <v>0</v>
      </c>
      <c r="D14" s="10">
        <v>2.4</v>
      </c>
      <c r="E14" s="10">
        <v>2</v>
      </c>
      <c r="F14" s="10">
        <v>2.4</v>
      </c>
      <c r="G14" s="10">
        <v>5</v>
      </c>
      <c r="H14" s="10">
        <v>2.4</v>
      </c>
      <c r="I14" s="10">
        <v>2.4</v>
      </c>
      <c r="J14" s="10">
        <v>2.4</v>
      </c>
      <c r="K14" s="10">
        <v>2</v>
      </c>
      <c r="L14" s="10">
        <v>2.4</v>
      </c>
      <c r="M14" s="15">
        <v>2.4</v>
      </c>
      <c r="N14" s="15">
        <v>2.4</v>
      </c>
      <c r="O14" s="15">
        <v>2.4</v>
      </c>
      <c r="P14" s="15">
        <v>2.4</v>
      </c>
      <c r="Q14" s="15">
        <v>5</v>
      </c>
      <c r="R14" s="20">
        <f t="shared" si="0"/>
        <v>38</v>
      </c>
      <c r="S14" s="20">
        <f t="shared" si="1"/>
        <v>95</v>
      </c>
    </row>
    <row r="15" ht="21.75" customHeight="1" spans="1:19">
      <c r="A15" s="8">
        <v>12</v>
      </c>
      <c r="B15" s="9" t="s">
        <v>31</v>
      </c>
      <c r="C15" s="10">
        <v>2</v>
      </c>
      <c r="D15" s="10">
        <v>2.4</v>
      </c>
      <c r="E15" s="10">
        <v>2</v>
      </c>
      <c r="F15" s="10">
        <v>2.4</v>
      </c>
      <c r="G15" s="10">
        <v>5</v>
      </c>
      <c r="H15" s="10">
        <v>2.4</v>
      </c>
      <c r="I15" s="10">
        <v>2.4</v>
      </c>
      <c r="J15" s="10">
        <v>2.4</v>
      </c>
      <c r="K15" s="10">
        <v>2</v>
      </c>
      <c r="L15" s="10">
        <v>2.4</v>
      </c>
      <c r="M15" s="15">
        <v>2.4</v>
      </c>
      <c r="N15" s="15">
        <v>0</v>
      </c>
      <c r="O15" s="15">
        <v>2.4</v>
      </c>
      <c r="P15" s="15">
        <v>0</v>
      </c>
      <c r="Q15" s="15">
        <v>5</v>
      </c>
      <c r="R15" s="20">
        <f t="shared" si="0"/>
        <v>35.2</v>
      </c>
      <c r="S15" s="20">
        <f t="shared" si="1"/>
        <v>88</v>
      </c>
    </row>
    <row r="16" ht="21.75" customHeight="1" spans="1:19">
      <c r="A16" s="8">
        <v>13</v>
      </c>
      <c r="B16" s="9" t="s">
        <v>32</v>
      </c>
      <c r="C16" s="10">
        <v>2</v>
      </c>
      <c r="D16" s="10">
        <v>2.4</v>
      </c>
      <c r="E16" s="10">
        <v>0</v>
      </c>
      <c r="F16" s="10">
        <v>2.4</v>
      </c>
      <c r="G16" s="10">
        <v>5</v>
      </c>
      <c r="H16" s="10">
        <v>2.4</v>
      </c>
      <c r="I16" s="10">
        <v>2.4</v>
      </c>
      <c r="J16" s="10">
        <v>2.4</v>
      </c>
      <c r="K16" s="10">
        <v>2</v>
      </c>
      <c r="L16" s="10">
        <v>2.4</v>
      </c>
      <c r="M16" s="15">
        <v>2.4</v>
      </c>
      <c r="N16" s="15">
        <v>2.4</v>
      </c>
      <c r="O16" s="15">
        <v>2.4</v>
      </c>
      <c r="P16" s="15">
        <v>2.4</v>
      </c>
      <c r="Q16" s="15">
        <v>5</v>
      </c>
      <c r="R16" s="20">
        <f t="shared" si="0"/>
        <v>38</v>
      </c>
      <c r="S16" s="20">
        <f t="shared" si="1"/>
        <v>95</v>
      </c>
    </row>
    <row r="17" ht="21.75" customHeight="1" spans="1:19">
      <c r="A17" s="8">
        <v>14</v>
      </c>
      <c r="B17" s="9" t="s">
        <v>33</v>
      </c>
      <c r="C17" s="13">
        <v>2</v>
      </c>
      <c r="D17" s="13">
        <v>2.4</v>
      </c>
      <c r="E17" s="13">
        <v>0</v>
      </c>
      <c r="F17" s="13">
        <v>2.4</v>
      </c>
      <c r="G17" s="13">
        <v>5</v>
      </c>
      <c r="H17" s="13">
        <v>2.4</v>
      </c>
      <c r="I17" s="13">
        <v>2.4</v>
      </c>
      <c r="J17" s="13">
        <v>2.4</v>
      </c>
      <c r="K17" s="13">
        <v>0</v>
      </c>
      <c r="L17" s="13">
        <v>2.4</v>
      </c>
      <c r="M17" s="15">
        <v>2.4</v>
      </c>
      <c r="N17" s="15">
        <v>2.4</v>
      </c>
      <c r="O17" s="15">
        <v>2.4</v>
      </c>
      <c r="P17" s="15">
        <v>2.4</v>
      </c>
      <c r="Q17" s="15">
        <v>5</v>
      </c>
      <c r="R17" s="20">
        <f t="shared" si="0"/>
        <v>36</v>
      </c>
      <c r="S17" s="20">
        <f t="shared" si="1"/>
        <v>90</v>
      </c>
    </row>
    <row r="18" ht="21.75" customHeight="1" spans="1:19">
      <c r="A18" s="11">
        <v>15</v>
      </c>
      <c r="B18" s="12" t="s">
        <v>34</v>
      </c>
      <c r="C18" s="10">
        <v>2</v>
      </c>
      <c r="D18" s="10">
        <v>2.4</v>
      </c>
      <c r="E18" s="10">
        <v>2</v>
      </c>
      <c r="F18" s="10">
        <v>2.4</v>
      </c>
      <c r="G18" s="10">
        <v>5</v>
      </c>
      <c r="H18" s="10">
        <v>2.4</v>
      </c>
      <c r="I18" s="10">
        <v>2.4</v>
      </c>
      <c r="J18" s="10">
        <v>2.4</v>
      </c>
      <c r="K18" s="10">
        <v>2</v>
      </c>
      <c r="L18" s="10">
        <v>2.4</v>
      </c>
      <c r="M18" s="15">
        <v>2.4</v>
      </c>
      <c r="N18" s="15">
        <v>2.4</v>
      </c>
      <c r="O18" s="15">
        <v>2.4</v>
      </c>
      <c r="P18" s="15">
        <v>0</v>
      </c>
      <c r="Q18" s="15">
        <v>5</v>
      </c>
      <c r="R18" s="20">
        <f t="shared" si="0"/>
        <v>37.6</v>
      </c>
      <c r="S18" s="20">
        <f t="shared" si="1"/>
        <v>94</v>
      </c>
    </row>
    <row r="19" spans="2:12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ht="15.6" spans="2:18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O20" s="16" t="s">
        <v>35</v>
      </c>
      <c r="P20" s="16"/>
      <c r="Q20" s="16"/>
      <c r="R20" s="21">
        <f>SUM(R4:R18)/17</f>
        <v>31.2588235294118</v>
      </c>
    </row>
    <row r="21" ht="15.6" spans="15:18">
      <c r="O21" s="16" t="s">
        <v>36</v>
      </c>
      <c r="P21" s="16"/>
      <c r="Q21" s="16"/>
      <c r="R21" s="21">
        <f>(R20*100)/40</f>
        <v>78.1470588235294</v>
      </c>
    </row>
  </sheetData>
  <mergeCells count="22">
    <mergeCell ref="A1:S1"/>
    <mergeCell ref="O20:Q20"/>
    <mergeCell ref="O21:Q2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R4:R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S18">
    <cfRule type="colorScale" priority="5">
      <colorScale>
        <cfvo type="min"/>
        <cfvo type="max"/>
        <color rgb="FFFCFCFF"/>
        <color rgb="FF63BE7B"/>
      </colorScale>
    </cfRule>
  </conditionalFormatting>
  <conditionalFormatting sqref="B4:Q18">
    <cfRule type="cellIs" dxfId="0" priority="1" operator="equal">
      <formula>0</formula>
    </cfRule>
  </conditionalFormatting>
  <pageMargins left="0.31496062992126" right="0.31496062992126" top="0.354330708661417" bottom="0.354330708661417" header="0.31496062992126" footer="0.31496062992126"/>
  <pageSetup paperSize="9" scale="8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SPecialiST RePack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MAHKAMJON</dc:creator>
  <cp:lastModifiedBy>dosto</cp:lastModifiedBy>
  <dcterms:created xsi:type="dcterms:W3CDTF">2024-10-06T13:51:00Z</dcterms:created>
  <cp:lastPrinted>2024-10-09T15:49:00Z</cp:lastPrinted>
  <dcterms:modified xsi:type="dcterms:W3CDTF">2026-03-23T17:30:37Z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555079337B074CA7883226C8D4296AD9_13</vt:lpwstr>
  </property>
  <property fmtid="{D5CDD505-2E9C-101B-9397-08002B2CF9AE}" pid="3" name="KSOProductBuildVer">
    <vt:lpwstr>1049-12.2.0.23196</vt:lpwstr>
  </property>
</Properties>
</file>